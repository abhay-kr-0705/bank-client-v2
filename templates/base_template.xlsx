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India Shelter\Anshul\SUNITA DEVI BACHHAN KUMAR\"/>
    </mc:Choice>
  </mc:AlternateContent>
  <bookViews>
    <workbookView xWindow="0" yWindow="0" windowWidth="23040" windowHeight="9192"/>
  </bookViews>
  <sheets>
    <sheet name="Sheet1" sheetId="1" r:id="rId1"/>
    <sheet name="Sheet2" sheetId="2" state="hidden"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8" i="1" l="1"/>
  <c r="B83" i="1"/>
  <c r="B79" i="1"/>
  <c r="D62" i="1" l="1"/>
  <c r="B63" i="1" s="1"/>
  <c r="B80" i="1" s="1"/>
  <c r="B62" i="1"/>
  <c r="B65" i="1" l="1"/>
</calcChain>
</file>

<file path=xl/sharedStrings.xml><?xml version="1.0" encoding="utf-8"?>
<sst xmlns="http://schemas.openxmlformats.org/spreadsheetml/2006/main" count="279" uniqueCount="232">
  <si>
    <t xml:space="preserve">Percentage of Completion </t>
  </si>
  <si>
    <t>Type of Structure</t>
  </si>
  <si>
    <t>Age of Property</t>
  </si>
  <si>
    <t>Dwelling Units Owned</t>
  </si>
  <si>
    <t>Geo Tag</t>
  </si>
  <si>
    <t>Village Name</t>
  </si>
  <si>
    <t>City</t>
  </si>
  <si>
    <t>Street Name/Number</t>
  </si>
  <si>
    <t>Address as per Site</t>
  </si>
  <si>
    <t xml:space="preserve">District </t>
  </si>
  <si>
    <t>Boundary as per Site</t>
  </si>
  <si>
    <t>East</t>
  </si>
  <si>
    <t>West</t>
  </si>
  <si>
    <t>North</t>
  </si>
  <si>
    <t>South</t>
  </si>
  <si>
    <t>Roof Dimension</t>
  </si>
  <si>
    <t>Length in Sq ft</t>
  </si>
  <si>
    <t xml:space="preserve">Breadth in Sq ft </t>
  </si>
  <si>
    <t>Solar Panel</t>
  </si>
  <si>
    <t>Shadow Free area available on roof in sqft</t>
  </si>
  <si>
    <t>Parapet wall Height in sq ft</t>
  </si>
  <si>
    <t>No. of Primary Schools within 1 Km Radius</t>
  </si>
  <si>
    <t>No. of Secondary Schools within 1 Km Radius</t>
  </si>
  <si>
    <t>Govt Institution in Vicinity</t>
  </si>
  <si>
    <t>Nearest Landmark</t>
  </si>
  <si>
    <t>Floor Number</t>
  </si>
  <si>
    <t>Project/Society/Colony Name</t>
  </si>
  <si>
    <t>Property Address as per Documents</t>
  </si>
  <si>
    <t>Boundary as per Title Deed</t>
  </si>
  <si>
    <t>Mismatch Remarks</t>
  </si>
  <si>
    <t>Length</t>
  </si>
  <si>
    <t>Breadth</t>
  </si>
  <si>
    <t>Accomodation</t>
  </si>
  <si>
    <t>Ground Floor</t>
  </si>
  <si>
    <t>Stilt Floor</t>
  </si>
  <si>
    <t>Basement</t>
  </si>
  <si>
    <t>First Floor</t>
  </si>
  <si>
    <t>Second Floor</t>
  </si>
  <si>
    <t>Third Floor</t>
  </si>
  <si>
    <t>Fouth Floor</t>
  </si>
  <si>
    <t>Fifth Floor</t>
  </si>
  <si>
    <t>No. of Floor</t>
  </si>
  <si>
    <t>No. of Lift</t>
  </si>
  <si>
    <t>Number of Appartments Per Floor</t>
  </si>
  <si>
    <t>Electricity Meter Number</t>
  </si>
  <si>
    <t>Construction Stage</t>
  </si>
  <si>
    <t>Total Build up area in sq ft (Existing +Proposed)</t>
  </si>
  <si>
    <t>Proposed Construction Dimensions</t>
  </si>
  <si>
    <t>Per Unit Proposed Construction Value</t>
  </si>
  <si>
    <t>Per Unit Construction Area</t>
  </si>
  <si>
    <t>Details of Proposed Construction (Accomodation)</t>
  </si>
  <si>
    <t>Deviation</t>
  </si>
  <si>
    <t>Documents Name</t>
  </si>
  <si>
    <t>Reation with the Property Owner</t>
  </si>
  <si>
    <t>Width of Public Road in ft.</t>
  </si>
  <si>
    <t>% Occupancy in 250 Mtr Radius</t>
  </si>
  <si>
    <t>% of Development in 250 Mtr Radius</t>
  </si>
  <si>
    <t>Tentative Rent From the Property</t>
  </si>
  <si>
    <t>Remarks</t>
  </si>
  <si>
    <t xml:space="preserve">Person Meet </t>
  </si>
  <si>
    <t>Other</t>
  </si>
  <si>
    <t>Sanction Plan Approval Number &amp; Date</t>
  </si>
  <si>
    <t>Documents</t>
  </si>
  <si>
    <t>Construction</t>
  </si>
  <si>
    <t xml:space="preserve">Land </t>
  </si>
  <si>
    <t>Address</t>
  </si>
  <si>
    <t xml:space="preserve">Type of Property </t>
  </si>
  <si>
    <t>Apartment</t>
  </si>
  <si>
    <t>Plot Purchase +Construction</t>
  </si>
  <si>
    <t>Commercial Building</t>
  </si>
  <si>
    <t>Row House</t>
  </si>
  <si>
    <t>Commercial Unit</t>
  </si>
  <si>
    <t>Shop</t>
  </si>
  <si>
    <t>Commercial Floor</t>
  </si>
  <si>
    <t>Independent Floor</t>
  </si>
  <si>
    <t>None</t>
  </si>
  <si>
    <t>RCC</t>
  </si>
  <si>
    <t>Load Bearing</t>
  </si>
  <si>
    <t>Temporary</t>
  </si>
  <si>
    <t xml:space="preserve">Occupancy Status  </t>
  </si>
  <si>
    <t>Seller</t>
  </si>
  <si>
    <t>Tenant</t>
  </si>
  <si>
    <t>Vacant</t>
  </si>
  <si>
    <t>Borrower</t>
  </si>
  <si>
    <t>Self+Tenant</t>
  </si>
  <si>
    <t>Solar Panel Can be installed at</t>
  </si>
  <si>
    <t xml:space="preserve"> Ground</t>
  </si>
  <si>
    <t>Rooftop</t>
  </si>
  <si>
    <t>Cracks in roof (internally)</t>
  </si>
  <si>
    <t xml:space="preserve"> Yes</t>
  </si>
  <si>
    <t>No</t>
  </si>
  <si>
    <t>Fresh</t>
  </si>
  <si>
    <t>Broken above roof surface</t>
  </si>
  <si>
    <t>Existing access to reach the roof</t>
  </si>
  <si>
    <t>is Property Situated in Outreach</t>
  </si>
  <si>
    <t>Population within 1KM Radius</t>
  </si>
  <si>
    <t>Lessthan 1000</t>
  </si>
  <si>
    <t>1000 to 2000</t>
  </si>
  <si>
    <t>2000 to 3000</t>
  </si>
  <si>
    <t>3000 to 5000</t>
  </si>
  <si>
    <t>Above 5000</t>
  </si>
  <si>
    <t>Above than 3</t>
  </si>
  <si>
    <t xml:space="preserve">Boundary Matching </t>
  </si>
  <si>
    <t>Toilet Available</t>
  </si>
  <si>
    <t>Electricity Meter Installed</t>
  </si>
  <si>
    <t>Property Situated at</t>
  </si>
  <si>
    <t xml:space="preserve"> MC</t>
  </si>
  <si>
    <t>Village Abadi</t>
  </si>
  <si>
    <t>Is Construction as per Sanction Plan</t>
  </si>
  <si>
    <t>Pathway Clear</t>
  </si>
  <si>
    <t xml:space="preserve">Approach to Property by Public Road </t>
  </si>
  <si>
    <t>Property Situated in HTE Line</t>
  </si>
  <si>
    <t>Property is in Disaster Prone Area</t>
  </si>
  <si>
    <t>Property Situated Near by Nala</t>
  </si>
  <si>
    <t>Whether Electricty, Water, Drainage in Vicinity</t>
  </si>
  <si>
    <t>Approved Land as per Master Plan</t>
  </si>
  <si>
    <t>Commercial</t>
  </si>
  <si>
    <t>Residential</t>
  </si>
  <si>
    <t>Industrial</t>
  </si>
  <si>
    <t>Current Uses of Property</t>
  </si>
  <si>
    <t>Opinion Abot Report</t>
  </si>
  <si>
    <t xml:space="preserve"> Positive</t>
  </si>
  <si>
    <t>Negative</t>
  </si>
  <si>
    <t xml:space="preserve">Property Limit </t>
  </si>
  <si>
    <t>Within MC  Limit</t>
  </si>
  <si>
    <t>Outside City Limit</t>
  </si>
  <si>
    <t>Average</t>
  </si>
  <si>
    <t>High</t>
  </si>
  <si>
    <t>Low</t>
  </si>
  <si>
    <t>ADM (Area Development and Marketability)</t>
  </si>
  <si>
    <t>Reference</t>
  </si>
  <si>
    <t>Reference Type</t>
  </si>
  <si>
    <t>Broker</t>
  </si>
  <si>
    <t>Property Dealer</t>
  </si>
  <si>
    <t>Reference Name</t>
  </si>
  <si>
    <t>Reference Mobile Number</t>
  </si>
  <si>
    <t>Feedback</t>
  </si>
  <si>
    <t>Toilet Proposed</t>
  </si>
  <si>
    <t>Uttar Pradesh</t>
  </si>
  <si>
    <t>Rajasthan</t>
  </si>
  <si>
    <t>Haryana</t>
  </si>
  <si>
    <t>Delhi</t>
  </si>
  <si>
    <t>Isolated Area</t>
  </si>
  <si>
    <t>ATS not attached</t>
  </si>
  <si>
    <t>Identification Issues</t>
  </si>
  <si>
    <t>Land Area/Property/Area not Matching as per documents</t>
  </si>
  <si>
    <t>Property Value/Land Value not meeting policy</t>
  </si>
  <si>
    <t>Documentation Issue</t>
  </si>
  <si>
    <t>Illegal Area /Negative Area</t>
  </si>
  <si>
    <t>Property Locked</t>
  </si>
  <si>
    <t>Construction not upto the mark</t>
  </si>
  <si>
    <t>High Tension Line</t>
  </si>
  <si>
    <t>Vulnerable Zone</t>
  </si>
  <si>
    <t>Geographical Challenging Zone</t>
  </si>
  <si>
    <t>Road widthnot meeting policy</t>
  </si>
  <si>
    <t>No Deviation</t>
  </si>
  <si>
    <t>Under building control line</t>
  </si>
  <si>
    <t>Community Dominated Area</t>
  </si>
  <si>
    <t xml:space="preserve">Proprty Near Nala </t>
  </si>
  <si>
    <t>Construction Not Satisfactory</t>
  </si>
  <si>
    <t>Commercial Construction</t>
  </si>
  <si>
    <t>Occupancy Issue</t>
  </si>
  <si>
    <t>Sale-Deed</t>
  </si>
  <si>
    <t>Agreement to sell</t>
  </si>
  <si>
    <t>Registered Partition Deed</t>
  </si>
  <si>
    <t>Loan Book/Khata</t>
  </si>
  <si>
    <t>Unregistered Patta</t>
  </si>
  <si>
    <t>Partition Deed</t>
  </si>
  <si>
    <t>Awaed</t>
  </si>
  <si>
    <t>Lease Deed</t>
  </si>
  <si>
    <t>EM Registration</t>
  </si>
  <si>
    <t>Allotment Letter</t>
  </si>
  <si>
    <t>Declaration registration</t>
  </si>
  <si>
    <t>Self</t>
  </si>
  <si>
    <t>Spouse</t>
  </si>
  <si>
    <t>Son/Doughter</t>
  </si>
  <si>
    <t>Brother/Sister</t>
  </si>
  <si>
    <t>Parents</t>
  </si>
  <si>
    <t>Neighbor</t>
  </si>
  <si>
    <t>Property Broker</t>
  </si>
  <si>
    <t>Yes</t>
  </si>
  <si>
    <t>Plot/House/Flat Number/Khasra No.</t>
  </si>
  <si>
    <t>Pincode as per Site</t>
  </si>
  <si>
    <t>Floor Wide Area in Sq Ft</t>
  </si>
  <si>
    <t xml:space="preserve">Floors </t>
  </si>
  <si>
    <t>Actual Area (Sq Ft)</t>
  </si>
  <si>
    <t>Permissible Area (Sq Ft)</t>
  </si>
  <si>
    <t>Adopted Area (Sq Ft)</t>
  </si>
  <si>
    <t>Six Floor</t>
  </si>
  <si>
    <t>Seven Floor</t>
  </si>
  <si>
    <t>Total</t>
  </si>
  <si>
    <t>India Shelter Report</t>
  </si>
  <si>
    <t>Application ID</t>
  </si>
  <si>
    <t>Applicant Name</t>
  </si>
  <si>
    <t>Land Area as per Site in Sq ft</t>
  </si>
  <si>
    <t>Adopted Land Area in Sq ft</t>
  </si>
  <si>
    <t>Per Unit Land Rate in Sq ft</t>
  </si>
  <si>
    <t>Total Land Value</t>
  </si>
  <si>
    <t>Build Up Area in sq ft</t>
  </si>
  <si>
    <t>Build Up Rate in sq ft</t>
  </si>
  <si>
    <t xml:space="preserve">Total Built up Vaue </t>
  </si>
  <si>
    <t xml:space="preserve">Total Construction Value </t>
  </si>
  <si>
    <t xml:space="preserve">Total Value of Property </t>
  </si>
  <si>
    <t>Others Property</t>
  </si>
  <si>
    <t>New Delhi</t>
  </si>
  <si>
    <t xml:space="preserve">80%-90% </t>
  </si>
  <si>
    <t>AP-10524478</t>
  </si>
  <si>
    <t>Mrs. Sunita Devi</t>
  </si>
  <si>
    <t>08 Years</t>
  </si>
  <si>
    <t>28.627023, 77.026233</t>
  </si>
  <si>
    <t>Property Bearing Plot No. 8-B, Out of Khasra No. 75 &amp; 76, Situated in the Revenue Estate of Village-Nawada, Delhi State Delhi in the Abadi Known as Vipin garden Extn., Uttam Nagar, New Delhi-110059</t>
  </si>
  <si>
    <t>Property No. 8-B, Situated in Village-Nawada, Gali No. 14, Vipin garden Extn., Uttam Nagar, New Delhi-110059</t>
  </si>
  <si>
    <t>Nawada</t>
  </si>
  <si>
    <t>Gali No. 14</t>
  </si>
  <si>
    <t>Vipin garden Extn.</t>
  </si>
  <si>
    <t>Entire Property</t>
  </si>
  <si>
    <t>Property No. 8-B</t>
  </si>
  <si>
    <t>Nearby Aggarwal Store</t>
  </si>
  <si>
    <t>Plot No. 8-A</t>
  </si>
  <si>
    <t>Plot No. 9-A</t>
  </si>
  <si>
    <t>Road 23 Ft Wide</t>
  </si>
  <si>
    <t>Other Land</t>
  </si>
  <si>
    <t>Others Property/Meter No. 46215085</t>
  </si>
  <si>
    <t>Others Property/Meter No. 21901820</t>
  </si>
  <si>
    <t>NA</t>
  </si>
  <si>
    <t>569.7 Sqft</t>
  </si>
  <si>
    <t>Mr. Gauarv</t>
  </si>
  <si>
    <t>Applicant's Son</t>
  </si>
  <si>
    <t>23 Ft Wide</t>
  </si>
  <si>
    <t>Local Enquiry</t>
  </si>
  <si>
    <t>1 L to 1.10 L per Sqyds</t>
  </si>
  <si>
    <t xml:space="preserve">1. Subject Property is a S+UG+3 storied residential house built over a plot having area 63.3 Sq Yrd.
2. Access to the property is through Road 23 Ft Wide in North direction.
3. The subject property is 08 years old &amp; same was found seller-occupied as on date of time of site visit.
4. The subject property has identified with help of the applicant &amp; local enquiry, Name Board.
5. Surrounding Vicinity is approx. 80%-90%% within 250 meters radius.
6. The Owner has done 100% ground coverage over the plot and projected front side approx. total 3 ft. beyond the plot limit.
7. The subject property falls under MC Limits.
8. This is to inform you that the applicant had called the engineer to the site. However, upon arrival, the seller informed that the property’s bayana (token/advance) has not yet been completed, and therefore they are not allowing the internal visit at this stage. As a result, only the external (outside) visit was conducted.
9. Provided GPA/ATS is draft only thus required registered title documents.
10. A Soft Copy of GPA/ATS/Possesion Latter/Will Deed has been provided, dated: 12/05/2023 in favor of (1). Mr. Surender Singh S/o Mr. Ram Mahar &amp; (2). Mrs. Sarla W/o Mr. Surender Singh for Property Bearing Plot No. 8-B, Out of Khasra No. 75 &amp; 76, Situated in the Revenue Estate of Village-Nawada, Delhi State Delhi in the Abadi Known as Vipin Garden Extn., Uttam Nagar, New Delhi-110059 for having plot area 63.3 sqyds (15 X 38).
11. A Soft Copy of Draft ATS has been provided, undated in between of (1). Mr. Surender Singh &amp; (2). Mrs. Sarla (Seller) &amp; Mrs. Sunitta Devi W/o Mr. Bachhan Kumar (Purchaser) for Property Bearing Plot No. 8-B, Out of Khasra No. 75 &amp; 76, Situated in the Revenue Estate of Village-Nawada, Delhi State Delhi in the Abadi Known as Vipin Garden Extn., Uttam Nagar, New Delhi-110059 for having plot area 63.3 sqyds  
12. The Geo-ordinates of Subject Property are 28.627023, 77.026233.
13. Value of the subject property has not been released due to above mentioned deviations.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</si>
</sst>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6"/>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1" fillId="0" borderId="1" xfId="0" applyFont="1" applyBorder="1" applyAlignment="1">
      <alignment vertical="center" wrapText="1"/>
    </xf>
    <xf numFmtId="0" fontId="0" fillId="0" borderId="0" xfId="0" applyAlignment="1">
      <alignment horizontal="left" vertical="center"/>
    </xf>
    <xf numFmtId="0" fontId="0" fillId="0" borderId="0" xfId="0" applyAlignment="1">
      <alignment wrapText="1"/>
    </xf>
    <xf numFmtId="0" fontId="1" fillId="0" borderId="1" xfId="0" applyFont="1" applyBorder="1" applyAlignment="1">
      <alignment wrapText="1"/>
    </xf>
    <xf numFmtId="0" fontId="0" fillId="0" borderId="1"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9" fontId="0" fillId="0" borderId="1" xfId="0" applyNumberFormat="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wrapText="1"/>
    </xf>
    <xf numFmtId="0" fontId="1" fillId="4" borderId="1" xfId="0" applyFont="1" applyFill="1" applyBorder="1" applyAlignment="1">
      <alignment vertical="center" wrapText="1"/>
    </xf>
    <xf numFmtId="0" fontId="1" fillId="4" borderId="0" xfId="0" applyFont="1" applyFill="1" applyAlignment="1">
      <alignmen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vertical="center" wrapText="1"/>
    </xf>
    <xf numFmtId="0" fontId="0" fillId="0" borderId="8" xfId="0"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0" fillId="0" borderId="1" xfId="0" applyBorder="1" applyAlignment="1">
      <alignment horizontal="center" vertical="center" wrapText="1"/>
    </xf>
    <xf numFmtId="9" fontId="0" fillId="0" borderId="1" xfId="0" applyNumberFormat="1" applyBorder="1" applyAlignment="1">
      <alignment horizontal="center" wrapText="1"/>
    </xf>
    <xf numFmtId="0" fontId="0" fillId="0" borderId="1" xfId="0" applyBorder="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9" fontId="0" fillId="0" borderId="3" xfId="0" applyNumberFormat="1" applyBorder="1" applyAlignment="1">
      <alignment horizontal="center" vertical="center" wrapText="1"/>
    </xf>
    <xf numFmtId="0" fontId="1" fillId="0" borderId="2" xfId="0" applyFont="1" applyBorder="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7"/>
  <sheetViews>
    <sheetView tabSelected="1" view="pageBreakPreview" topLeftCell="A99" zoomScaleNormal="100" zoomScaleSheetLayoutView="100" workbookViewId="0">
      <selection activeCell="A106" sqref="A106:D107"/>
    </sheetView>
  </sheetViews>
  <sheetFormatPr defaultColWidth="8.6640625" defaultRowHeight="14.4" x14ac:dyDescent="0.3"/>
  <cols>
    <col min="1" max="1" width="33.44140625" style="3" customWidth="1"/>
    <col min="2" max="4" width="22.88671875" style="3" customWidth="1"/>
    <col min="5" max="16384" width="8.6640625" style="3"/>
  </cols>
  <sheetData>
    <row r="1" spans="1:4" ht="36.6" customHeight="1" x14ac:dyDescent="0.3">
      <c r="A1" s="48" t="s">
        <v>191</v>
      </c>
      <c r="B1" s="48"/>
      <c r="C1" s="48"/>
      <c r="D1" s="48"/>
    </row>
    <row r="2" spans="1:4" ht="30.6" customHeight="1" x14ac:dyDescent="0.3">
      <c r="A2" s="18" t="s">
        <v>192</v>
      </c>
      <c r="B2" s="17" t="s">
        <v>206</v>
      </c>
      <c r="C2" s="18" t="s">
        <v>193</v>
      </c>
      <c r="D2" s="17" t="s">
        <v>207</v>
      </c>
    </row>
    <row r="3" spans="1:4" x14ac:dyDescent="0.3">
      <c r="A3" s="15" t="s">
        <v>66</v>
      </c>
      <c r="B3" s="20" t="s">
        <v>70</v>
      </c>
      <c r="C3" s="20"/>
      <c r="D3" s="20"/>
    </row>
    <row r="4" spans="1:4" x14ac:dyDescent="0.3">
      <c r="A4" s="14" t="s">
        <v>0</v>
      </c>
      <c r="B4" s="30">
        <v>1</v>
      </c>
      <c r="C4" s="31"/>
      <c r="D4" s="31"/>
    </row>
    <row r="5" spans="1:4" x14ac:dyDescent="0.3">
      <c r="A5" s="14" t="s">
        <v>1</v>
      </c>
      <c r="B5" s="31" t="s">
        <v>76</v>
      </c>
      <c r="C5" s="31"/>
      <c r="D5" s="31"/>
    </row>
    <row r="6" spans="1:4" x14ac:dyDescent="0.3">
      <c r="A6" s="14" t="s">
        <v>2</v>
      </c>
      <c r="B6" s="31" t="s">
        <v>208</v>
      </c>
      <c r="C6" s="31"/>
      <c r="D6" s="31"/>
    </row>
    <row r="7" spans="1:4" x14ac:dyDescent="0.3">
      <c r="A7" s="14" t="s">
        <v>3</v>
      </c>
      <c r="B7" s="31">
        <v>1</v>
      </c>
      <c r="C7" s="31"/>
      <c r="D7" s="31"/>
    </row>
    <row r="8" spans="1:4" x14ac:dyDescent="0.3">
      <c r="A8" s="14" t="s">
        <v>4</v>
      </c>
      <c r="B8" s="31" t="s">
        <v>209</v>
      </c>
      <c r="C8" s="31"/>
      <c r="D8" s="31"/>
    </row>
    <row r="9" spans="1:4" x14ac:dyDescent="0.3">
      <c r="A9" s="27" t="s">
        <v>65</v>
      </c>
      <c r="B9" s="27"/>
      <c r="C9" s="27"/>
      <c r="D9" s="27"/>
    </row>
    <row r="10" spans="1:4" x14ac:dyDescent="0.3">
      <c r="A10" s="14" t="s">
        <v>7</v>
      </c>
      <c r="B10" s="31" t="s">
        <v>213</v>
      </c>
      <c r="C10" s="31"/>
      <c r="D10" s="31"/>
    </row>
    <row r="11" spans="1:4" x14ac:dyDescent="0.3">
      <c r="A11" s="14" t="s">
        <v>24</v>
      </c>
      <c r="B11" s="29" t="s">
        <v>217</v>
      </c>
      <c r="C11" s="29"/>
      <c r="D11" s="29"/>
    </row>
    <row r="12" spans="1:4" x14ac:dyDescent="0.3">
      <c r="A12" s="14" t="s">
        <v>5</v>
      </c>
      <c r="B12" s="31" t="s">
        <v>212</v>
      </c>
      <c r="C12" s="31"/>
      <c r="D12" s="31"/>
    </row>
    <row r="13" spans="1:4" x14ac:dyDescent="0.3">
      <c r="A13" s="14" t="s">
        <v>6</v>
      </c>
      <c r="B13" s="31" t="s">
        <v>204</v>
      </c>
      <c r="C13" s="31"/>
      <c r="D13" s="31"/>
    </row>
    <row r="14" spans="1:4" x14ac:dyDescent="0.3">
      <c r="A14" s="14" t="s">
        <v>181</v>
      </c>
      <c r="B14" s="29" t="s">
        <v>216</v>
      </c>
      <c r="C14" s="29"/>
      <c r="D14" s="29"/>
    </row>
    <row r="15" spans="1:4" x14ac:dyDescent="0.3">
      <c r="A15" s="14" t="s">
        <v>25</v>
      </c>
      <c r="B15" s="29" t="s">
        <v>215</v>
      </c>
      <c r="C15" s="29"/>
      <c r="D15" s="29"/>
    </row>
    <row r="16" spans="1:4" x14ac:dyDescent="0.3">
      <c r="A16" s="14" t="s">
        <v>26</v>
      </c>
      <c r="B16" s="29" t="s">
        <v>214</v>
      </c>
      <c r="C16" s="29"/>
      <c r="D16" s="29"/>
    </row>
    <row r="17" spans="1:4" ht="27" customHeight="1" x14ac:dyDescent="0.3">
      <c r="A17" s="14" t="s">
        <v>8</v>
      </c>
      <c r="B17" s="29" t="s">
        <v>211</v>
      </c>
      <c r="C17" s="29"/>
      <c r="D17" s="29"/>
    </row>
    <row r="18" spans="1:4" ht="38.4" customHeight="1" x14ac:dyDescent="0.3">
      <c r="A18" s="16" t="s">
        <v>27</v>
      </c>
      <c r="B18" s="29" t="s">
        <v>210</v>
      </c>
      <c r="C18" s="29"/>
      <c r="D18" s="29"/>
    </row>
    <row r="19" spans="1:4" ht="22.8" customHeight="1" x14ac:dyDescent="0.3">
      <c r="A19" s="14" t="s">
        <v>182</v>
      </c>
      <c r="B19" s="4">
        <v>110059</v>
      </c>
      <c r="C19" s="13" t="s">
        <v>9</v>
      </c>
      <c r="D19" s="4" t="s">
        <v>204</v>
      </c>
    </row>
    <row r="20" spans="1:4" x14ac:dyDescent="0.3">
      <c r="A20" s="28" t="s">
        <v>10</v>
      </c>
      <c r="B20" s="28"/>
      <c r="C20" s="28"/>
      <c r="D20" s="28"/>
    </row>
    <row r="21" spans="1:4" x14ac:dyDescent="0.3">
      <c r="A21" s="12" t="s">
        <v>11</v>
      </c>
      <c r="B21" s="12" t="s">
        <v>12</v>
      </c>
      <c r="C21" s="12" t="s">
        <v>13</v>
      </c>
      <c r="D21" s="12" t="s">
        <v>14</v>
      </c>
    </row>
    <row r="22" spans="1:4" ht="28.8" x14ac:dyDescent="0.3">
      <c r="A22" s="5" t="s">
        <v>223</v>
      </c>
      <c r="B22" s="5" t="s">
        <v>222</v>
      </c>
      <c r="C22" s="5" t="s">
        <v>220</v>
      </c>
      <c r="D22" s="5" t="s">
        <v>203</v>
      </c>
    </row>
    <row r="23" spans="1:4" x14ac:dyDescent="0.3">
      <c r="A23" s="27" t="s">
        <v>28</v>
      </c>
      <c r="B23" s="27"/>
      <c r="C23" s="27"/>
      <c r="D23" s="27"/>
    </row>
    <row r="24" spans="1:4" x14ac:dyDescent="0.3">
      <c r="A24" s="12" t="s">
        <v>11</v>
      </c>
      <c r="B24" s="12" t="s">
        <v>12</v>
      </c>
      <c r="C24" s="12" t="s">
        <v>13</v>
      </c>
      <c r="D24" s="12" t="s">
        <v>14</v>
      </c>
    </row>
    <row r="25" spans="1:4" x14ac:dyDescent="0.3">
      <c r="A25" s="5" t="s">
        <v>218</v>
      </c>
      <c r="B25" s="5" t="s">
        <v>219</v>
      </c>
      <c r="C25" s="5" t="s">
        <v>220</v>
      </c>
      <c r="D25" s="5" t="s">
        <v>221</v>
      </c>
    </row>
    <row r="26" spans="1:4" x14ac:dyDescent="0.3">
      <c r="A26" s="14" t="s">
        <v>102</v>
      </c>
      <c r="B26" s="29" t="s">
        <v>89</v>
      </c>
      <c r="C26" s="29"/>
      <c r="D26" s="29"/>
    </row>
    <row r="27" spans="1:4" x14ac:dyDescent="0.3">
      <c r="A27" s="14" t="s">
        <v>29</v>
      </c>
      <c r="B27" s="29" t="s">
        <v>224</v>
      </c>
      <c r="C27" s="29"/>
      <c r="D27" s="29"/>
    </row>
    <row r="28" spans="1:4" x14ac:dyDescent="0.3">
      <c r="A28" s="14" t="s">
        <v>79</v>
      </c>
      <c r="B28" s="21" t="s">
        <v>80</v>
      </c>
      <c r="C28" s="22"/>
      <c r="D28" s="23"/>
    </row>
    <row r="29" spans="1:4" x14ac:dyDescent="0.3">
      <c r="A29" s="27" t="s">
        <v>18</v>
      </c>
      <c r="B29" s="27"/>
      <c r="C29" s="27"/>
      <c r="D29" s="27"/>
    </row>
    <row r="30" spans="1:4" x14ac:dyDescent="0.3">
      <c r="A30" s="14" t="s">
        <v>85</v>
      </c>
      <c r="B30" s="24" t="s">
        <v>86</v>
      </c>
      <c r="C30" s="25"/>
      <c r="D30" s="26"/>
    </row>
    <row r="31" spans="1:4" ht="28.8" x14ac:dyDescent="0.3">
      <c r="A31" s="14" t="s">
        <v>19</v>
      </c>
      <c r="B31" s="24">
        <v>0</v>
      </c>
      <c r="C31" s="25"/>
      <c r="D31" s="26"/>
    </row>
    <row r="32" spans="1:4" x14ac:dyDescent="0.3">
      <c r="A32" s="14" t="s">
        <v>20</v>
      </c>
      <c r="B32" s="24">
        <v>0</v>
      </c>
      <c r="C32" s="25"/>
      <c r="D32" s="26"/>
    </row>
    <row r="33" spans="1:4" x14ac:dyDescent="0.3">
      <c r="A33" s="14" t="s">
        <v>88</v>
      </c>
      <c r="B33" s="24">
        <v>0</v>
      </c>
      <c r="C33" s="25"/>
      <c r="D33" s="26"/>
    </row>
    <row r="34" spans="1:4" x14ac:dyDescent="0.3">
      <c r="A34" s="14" t="s">
        <v>92</v>
      </c>
      <c r="B34" s="24">
        <v>0</v>
      </c>
      <c r="C34" s="25"/>
      <c r="D34" s="26"/>
    </row>
    <row r="35" spans="1:4" x14ac:dyDescent="0.3">
      <c r="A35" s="14" t="s">
        <v>93</v>
      </c>
      <c r="B35" s="24">
        <v>0</v>
      </c>
      <c r="C35" s="25"/>
      <c r="D35" s="26"/>
    </row>
    <row r="36" spans="1:4" x14ac:dyDescent="0.3">
      <c r="A36" s="27" t="s">
        <v>15</v>
      </c>
      <c r="B36" s="27"/>
      <c r="C36" s="27"/>
      <c r="D36" s="27"/>
    </row>
    <row r="37" spans="1:4" x14ac:dyDescent="0.3">
      <c r="A37" s="14" t="s">
        <v>16</v>
      </c>
      <c r="B37" s="5">
        <v>15</v>
      </c>
      <c r="C37" s="14" t="s">
        <v>17</v>
      </c>
      <c r="D37" s="5">
        <v>38</v>
      </c>
    </row>
    <row r="38" spans="1:4" x14ac:dyDescent="0.3">
      <c r="A38" s="14" t="s">
        <v>94</v>
      </c>
      <c r="B38" s="49" t="s">
        <v>90</v>
      </c>
      <c r="C38" s="50"/>
      <c r="D38" s="51"/>
    </row>
    <row r="39" spans="1:4" x14ac:dyDescent="0.3">
      <c r="A39" s="14" t="s">
        <v>95</v>
      </c>
      <c r="B39" s="44" t="s">
        <v>100</v>
      </c>
      <c r="C39" s="45"/>
      <c r="D39" s="46"/>
    </row>
    <row r="40" spans="1:4" ht="28.8" x14ac:dyDescent="0.3">
      <c r="A40" s="14" t="s">
        <v>21</v>
      </c>
      <c r="B40" s="44">
        <v>1</v>
      </c>
      <c r="C40" s="45"/>
      <c r="D40" s="46"/>
    </row>
    <row r="41" spans="1:4" ht="28.8" x14ac:dyDescent="0.3">
      <c r="A41" s="14" t="s">
        <v>22</v>
      </c>
      <c r="B41" s="44">
        <v>1</v>
      </c>
      <c r="C41" s="45"/>
      <c r="D41" s="46"/>
    </row>
    <row r="42" spans="1:4" x14ac:dyDescent="0.3">
      <c r="A42" s="14" t="s">
        <v>23</v>
      </c>
      <c r="B42" s="44">
        <v>1</v>
      </c>
      <c r="C42" s="45"/>
      <c r="D42" s="46"/>
    </row>
    <row r="43" spans="1:4" x14ac:dyDescent="0.3">
      <c r="A43" s="27" t="s">
        <v>64</v>
      </c>
      <c r="B43" s="27"/>
      <c r="C43" s="27"/>
      <c r="D43" s="27"/>
    </row>
    <row r="44" spans="1:4" x14ac:dyDescent="0.3">
      <c r="A44" s="14" t="s">
        <v>30</v>
      </c>
      <c r="B44" s="1">
        <v>38</v>
      </c>
      <c r="C44" s="14" t="s">
        <v>31</v>
      </c>
      <c r="D44" s="1">
        <v>15</v>
      </c>
    </row>
    <row r="45" spans="1:4" x14ac:dyDescent="0.3">
      <c r="A45" s="14" t="s">
        <v>194</v>
      </c>
      <c r="B45" s="32" t="s">
        <v>225</v>
      </c>
      <c r="C45" s="33"/>
      <c r="D45" s="34"/>
    </row>
    <row r="46" spans="1:4" x14ac:dyDescent="0.3">
      <c r="A46" s="14" t="s">
        <v>195</v>
      </c>
      <c r="B46" s="32">
        <v>569.70000000000005</v>
      </c>
      <c r="C46" s="33"/>
      <c r="D46" s="34"/>
    </row>
    <row r="47" spans="1:4" x14ac:dyDescent="0.3">
      <c r="A47" s="14" t="s">
        <v>196</v>
      </c>
      <c r="B47" s="29">
        <v>0</v>
      </c>
      <c r="C47" s="29"/>
      <c r="D47" s="29"/>
    </row>
    <row r="48" spans="1:4" x14ac:dyDescent="0.3">
      <c r="A48" s="19" t="s">
        <v>197</v>
      </c>
      <c r="B48" s="40">
        <f>B46*B47</f>
        <v>0</v>
      </c>
      <c r="C48" s="41"/>
      <c r="D48" s="42"/>
    </row>
    <row r="49" spans="1:4" x14ac:dyDescent="0.3">
      <c r="A49" s="27" t="s">
        <v>63</v>
      </c>
      <c r="B49" s="27"/>
      <c r="C49" s="27"/>
      <c r="D49" s="27"/>
    </row>
    <row r="50" spans="1:4" x14ac:dyDescent="0.3">
      <c r="A50" s="37" t="s">
        <v>183</v>
      </c>
      <c r="B50" s="38"/>
      <c r="C50" s="38"/>
      <c r="D50" s="39"/>
    </row>
    <row r="51" spans="1:4" x14ac:dyDescent="0.3">
      <c r="A51" s="11" t="s">
        <v>184</v>
      </c>
      <c r="B51" s="11" t="s">
        <v>185</v>
      </c>
      <c r="C51" s="11" t="s">
        <v>186</v>
      </c>
      <c r="D51" s="11" t="s">
        <v>187</v>
      </c>
    </row>
    <row r="52" spans="1:4" x14ac:dyDescent="0.3">
      <c r="A52" s="14" t="s">
        <v>35</v>
      </c>
      <c r="B52" s="17">
        <v>0</v>
      </c>
      <c r="C52" s="17">
        <v>0</v>
      </c>
      <c r="D52" s="17">
        <v>0</v>
      </c>
    </row>
    <row r="53" spans="1:4" x14ac:dyDescent="0.3">
      <c r="A53" s="14" t="s">
        <v>34</v>
      </c>
      <c r="B53" s="17">
        <v>0</v>
      </c>
      <c r="C53" s="17">
        <v>0</v>
      </c>
      <c r="D53" s="17">
        <v>0</v>
      </c>
    </row>
    <row r="54" spans="1:4" x14ac:dyDescent="0.3">
      <c r="A54" s="14" t="s">
        <v>33</v>
      </c>
      <c r="B54" s="17">
        <v>0</v>
      </c>
      <c r="C54" s="17">
        <v>0</v>
      </c>
      <c r="D54" s="17">
        <v>0</v>
      </c>
    </row>
    <row r="55" spans="1:4" x14ac:dyDescent="0.3">
      <c r="A55" s="14" t="s">
        <v>36</v>
      </c>
      <c r="B55" s="17">
        <v>0</v>
      </c>
      <c r="C55" s="17">
        <v>0</v>
      </c>
      <c r="D55" s="17">
        <v>0</v>
      </c>
    </row>
    <row r="56" spans="1:4" x14ac:dyDescent="0.3">
      <c r="A56" s="14" t="s">
        <v>37</v>
      </c>
      <c r="B56" s="17">
        <v>0</v>
      </c>
      <c r="C56" s="17">
        <v>0</v>
      </c>
      <c r="D56" s="17">
        <v>0</v>
      </c>
    </row>
    <row r="57" spans="1:4" x14ac:dyDescent="0.3">
      <c r="A57" s="14" t="s">
        <v>38</v>
      </c>
      <c r="B57" s="17">
        <v>0</v>
      </c>
      <c r="C57" s="17">
        <v>0</v>
      </c>
      <c r="D57" s="17">
        <v>0</v>
      </c>
    </row>
    <row r="58" spans="1:4" x14ac:dyDescent="0.3">
      <c r="A58" s="14" t="s">
        <v>39</v>
      </c>
      <c r="B58" s="17">
        <v>0</v>
      </c>
      <c r="C58" s="17">
        <v>0</v>
      </c>
      <c r="D58" s="17">
        <v>0</v>
      </c>
    </row>
    <row r="59" spans="1:4" x14ac:dyDescent="0.3">
      <c r="A59" s="14" t="s">
        <v>40</v>
      </c>
      <c r="B59" s="17">
        <v>0</v>
      </c>
      <c r="C59" s="17">
        <v>0</v>
      </c>
      <c r="D59" s="17">
        <v>0</v>
      </c>
    </row>
    <row r="60" spans="1:4" x14ac:dyDescent="0.3">
      <c r="A60" s="16" t="s">
        <v>188</v>
      </c>
      <c r="B60" s="17">
        <v>0</v>
      </c>
      <c r="C60" s="17">
        <v>0</v>
      </c>
      <c r="D60" s="17">
        <v>0</v>
      </c>
    </row>
    <row r="61" spans="1:4" x14ac:dyDescent="0.3">
      <c r="A61" s="16" t="s">
        <v>189</v>
      </c>
      <c r="B61" s="17">
        <v>0</v>
      </c>
      <c r="C61" s="17">
        <v>0</v>
      </c>
      <c r="D61" s="17">
        <v>0</v>
      </c>
    </row>
    <row r="62" spans="1:4" x14ac:dyDescent="0.3">
      <c r="A62" s="16" t="s">
        <v>190</v>
      </c>
      <c r="B62" s="17">
        <f>SUM(B52:B61)</f>
        <v>0</v>
      </c>
      <c r="C62" s="17">
        <v>0</v>
      </c>
      <c r="D62" s="17">
        <f>SUM(D52:D61)</f>
        <v>0</v>
      </c>
    </row>
    <row r="63" spans="1:4" x14ac:dyDescent="0.3">
      <c r="A63" s="19" t="s">
        <v>198</v>
      </c>
      <c r="B63" s="35">
        <f>D62</f>
        <v>0</v>
      </c>
      <c r="C63" s="35"/>
      <c r="D63" s="35"/>
    </row>
    <row r="64" spans="1:4" x14ac:dyDescent="0.3">
      <c r="A64" s="19" t="s">
        <v>199</v>
      </c>
      <c r="B64" s="36">
        <v>0</v>
      </c>
      <c r="C64" s="36"/>
      <c r="D64" s="36"/>
    </row>
    <row r="65" spans="1:4" x14ac:dyDescent="0.3">
      <c r="A65" s="19" t="s">
        <v>200</v>
      </c>
      <c r="B65" s="40">
        <f>B63*B64</f>
        <v>0</v>
      </c>
      <c r="C65" s="41"/>
      <c r="D65" s="42"/>
    </row>
    <row r="66" spans="1:4" x14ac:dyDescent="0.3">
      <c r="A66" s="43" t="s">
        <v>202</v>
      </c>
      <c r="B66" s="43"/>
      <c r="C66" s="43">
        <v>0</v>
      </c>
      <c r="D66" s="43"/>
    </row>
    <row r="67" spans="1:4" x14ac:dyDescent="0.3">
      <c r="A67" s="27" t="s">
        <v>32</v>
      </c>
      <c r="B67" s="27"/>
      <c r="C67" s="27"/>
      <c r="D67" s="27"/>
    </row>
    <row r="68" spans="1:4" x14ac:dyDescent="0.3">
      <c r="A68" s="14" t="s">
        <v>35</v>
      </c>
      <c r="B68" s="47"/>
      <c r="C68" s="47"/>
      <c r="D68" s="47"/>
    </row>
    <row r="69" spans="1:4" x14ac:dyDescent="0.3">
      <c r="A69" s="14" t="s">
        <v>34</v>
      </c>
      <c r="B69" s="47"/>
      <c r="C69" s="47"/>
      <c r="D69" s="47"/>
    </row>
    <row r="70" spans="1:4" ht="14.4" customHeight="1" x14ac:dyDescent="0.3">
      <c r="A70" s="14" t="s">
        <v>33</v>
      </c>
      <c r="B70" s="47"/>
      <c r="C70" s="47"/>
      <c r="D70" s="47"/>
    </row>
    <row r="71" spans="1:4" x14ac:dyDescent="0.3">
      <c r="A71" s="14" t="s">
        <v>36</v>
      </c>
      <c r="B71" s="47"/>
      <c r="C71" s="47"/>
      <c r="D71" s="47"/>
    </row>
    <row r="72" spans="1:4" x14ac:dyDescent="0.3">
      <c r="A72" s="14" t="s">
        <v>37</v>
      </c>
      <c r="B72" s="47"/>
      <c r="C72" s="47"/>
      <c r="D72" s="47"/>
    </row>
    <row r="73" spans="1:4" x14ac:dyDescent="0.3">
      <c r="A73" s="14" t="s">
        <v>38</v>
      </c>
      <c r="B73" s="47"/>
      <c r="C73" s="47"/>
      <c r="D73" s="47"/>
    </row>
    <row r="74" spans="1:4" x14ac:dyDescent="0.3">
      <c r="A74" s="14" t="s">
        <v>39</v>
      </c>
      <c r="B74" s="47"/>
      <c r="C74" s="47"/>
      <c r="D74" s="47"/>
    </row>
    <row r="75" spans="1:4" x14ac:dyDescent="0.3">
      <c r="A75" s="14" t="s">
        <v>40</v>
      </c>
      <c r="B75" s="47"/>
      <c r="C75" s="47"/>
      <c r="D75" s="47"/>
    </row>
    <row r="76" spans="1:4" x14ac:dyDescent="0.3">
      <c r="A76" s="14" t="s">
        <v>41</v>
      </c>
      <c r="B76" s="5">
        <v>5</v>
      </c>
      <c r="C76" s="14" t="s">
        <v>103</v>
      </c>
      <c r="D76" s="5" t="s">
        <v>89</v>
      </c>
    </row>
    <row r="77" spans="1:4" ht="28.8" x14ac:dyDescent="0.3">
      <c r="A77" s="14" t="s">
        <v>42</v>
      </c>
      <c r="B77" s="5">
        <v>0</v>
      </c>
      <c r="C77" s="14" t="s">
        <v>43</v>
      </c>
      <c r="D77" s="5">
        <v>1</v>
      </c>
    </row>
    <row r="78" spans="1:4" x14ac:dyDescent="0.3">
      <c r="A78" s="14" t="s">
        <v>104</v>
      </c>
      <c r="B78" s="5" t="s">
        <v>89</v>
      </c>
      <c r="C78" s="14" t="s">
        <v>44</v>
      </c>
      <c r="D78" s="5" t="s">
        <v>224</v>
      </c>
    </row>
    <row r="79" spans="1:4" x14ac:dyDescent="0.3">
      <c r="A79" s="14" t="s">
        <v>45</v>
      </c>
      <c r="B79" s="55">
        <f>B4</f>
        <v>1</v>
      </c>
      <c r="C79" s="45"/>
      <c r="D79" s="46"/>
    </row>
    <row r="80" spans="1:4" ht="28.8" x14ac:dyDescent="0.3">
      <c r="A80" s="14" t="s">
        <v>46</v>
      </c>
      <c r="B80" s="29">
        <f>B63</f>
        <v>0</v>
      </c>
      <c r="C80" s="29"/>
      <c r="D80" s="29"/>
    </row>
    <row r="81" spans="1:4" x14ac:dyDescent="0.3">
      <c r="A81" s="27" t="s">
        <v>47</v>
      </c>
      <c r="B81" s="27"/>
      <c r="C81" s="27"/>
      <c r="D81" s="27"/>
    </row>
    <row r="82" spans="1:4" ht="28.8" x14ac:dyDescent="0.3">
      <c r="A82" s="14" t="s">
        <v>48</v>
      </c>
      <c r="B82" s="6"/>
      <c r="C82" s="14" t="s">
        <v>49</v>
      </c>
      <c r="D82" s="7"/>
    </row>
    <row r="83" spans="1:4" x14ac:dyDescent="0.3">
      <c r="A83" s="14" t="s">
        <v>201</v>
      </c>
      <c r="B83" s="32">
        <f>B82*D82</f>
        <v>0</v>
      </c>
      <c r="C83" s="33"/>
      <c r="D83" s="34"/>
    </row>
    <row r="84" spans="1:4" ht="28.8" x14ac:dyDescent="0.3">
      <c r="A84" s="14" t="s">
        <v>50</v>
      </c>
      <c r="B84" s="44"/>
      <c r="C84" s="45"/>
      <c r="D84" s="46"/>
    </row>
    <row r="85" spans="1:4" x14ac:dyDescent="0.3">
      <c r="A85" s="14" t="s">
        <v>137</v>
      </c>
      <c r="B85" s="29"/>
      <c r="C85" s="29"/>
      <c r="D85" s="29"/>
    </row>
    <row r="86" spans="1:4" x14ac:dyDescent="0.3">
      <c r="A86" s="14" t="s">
        <v>51</v>
      </c>
      <c r="B86" s="32"/>
      <c r="C86" s="33"/>
      <c r="D86" s="34"/>
    </row>
    <row r="87" spans="1:4" x14ac:dyDescent="0.3">
      <c r="A87" s="27" t="s">
        <v>62</v>
      </c>
      <c r="B87" s="27"/>
      <c r="C87" s="27"/>
      <c r="D87" s="27"/>
    </row>
    <row r="88" spans="1:4" x14ac:dyDescent="0.3">
      <c r="A88" s="14" t="s">
        <v>52</v>
      </c>
      <c r="B88" s="52" t="s">
        <v>60</v>
      </c>
      <c r="C88" s="53"/>
      <c r="D88" s="54"/>
    </row>
    <row r="89" spans="1:4" x14ac:dyDescent="0.3">
      <c r="A89" s="27" t="s">
        <v>60</v>
      </c>
      <c r="B89" s="27"/>
      <c r="C89" s="27"/>
      <c r="D89" s="27"/>
    </row>
    <row r="90" spans="1:4" ht="28.8" x14ac:dyDescent="0.3">
      <c r="A90" s="14" t="s">
        <v>59</v>
      </c>
      <c r="B90" s="8" t="s">
        <v>226</v>
      </c>
      <c r="C90" s="14" t="s">
        <v>53</v>
      </c>
      <c r="D90" s="9" t="s">
        <v>227</v>
      </c>
    </row>
    <row r="91" spans="1:4" ht="28.8" x14ac:dyDescent="0.3">
      <c r="A91" s="14" t="s">
        <v>105</v>
      </c>
      <c r="B91" s="5" t="s">
        <v>106</v>
      </c>
      <c r="C91" s="14" t="s">
        <v>108</v>
      </c>
      <c r="D91" s="5" t="s">
        <v>90</v>
      </c>
    </row>
    <row r="92" spans="1:4" ht="28.8" x14ac:dyDescent="0.3">
      <c r="A92" s="14" t="s">
        <v>109</v>
      </c>
      <c r="B92" s="5" t="s">
        <v>180</v>
      </c>
      <c r="C92" s="15" t="s">
        <v>61</v>
      </c>
      <c r="D92" s="5" t="s">
        <v>90</v>
      </c>
    </row>
    <row r="93" spans="1:4" ht="28.8" x14ac:dyDescent="0.3">
      <c r="A93" s="14" t="s">
        <v>112</v>
      </c>
      <c r="B93" s="5" t="s">
        <v>90</v>
      </c>
      <c r="C93" s="14" t="s">
        <v>110</v>
      </c>
      <c r="D93" s="5" t="s">
        <v>89</v>
      </c>
    </row>
    <row r="94" spans="1:4" ht="28.8" x14ac:dyDescent="0.3">
      <c r="A94" s="14" t="s">
        <v>113</v>
      </c>
      <c r="B94" s="5" t="s">
        <v>90</v>
      </c>
      <c r="C94" s="14" t="s">
        <v>111</v>
      </c>
      <c r="D94" s="5" t="s">
        <v>90</v>
      </c>
    </row>
    <row r="95" spans="1:4" ht="28.8" x14ac:dyDescent="0.3">
      <c r="A95" s="14" t="s">
        <v>114</v>
      </c>
      <c r="B95" s="5" t="s">
        <v>180</v>
      </c>
      <c r="C95" s="14" t="s">
        <v>115</v>
      </c>
      <c r="D95" s="1" t="s">
        <v>117</v>
      </c>
    </row>
    <row r="96" spans="1:4" x14ac:dyDescent="0.3">
      <c r="A96" s="14" t="s">
        <v>54</v>
      </c>
      <c r="B96" s="1" t="s">
        <v>228</v>
      </c>
      <c r="C96" s="14" t="s">
        <v>119</v>
      </c>
      <c r="D96" s="5" t="s">
        <v>117</v>
      </c>
    </row>
    <row r="97" spans="1:4" ht="28.8" x14ac:dyDescent="0.3">
      <c r="A97" s="14" t="s">
        <v>120</v>
      </c>
      <c r="B97" s="1" t="s">
        <v>122</v>
      </c>
      <c r="C97" s="14" t="s">
        <v>55</v>
      </c>
      <c r="D97" s="10" t="s">
        <v>205</v>
      </c>
    </row>
    <row r="98" spans="1:4" ht="28.8" x14ac:dyDescent="0.3">
      <c r="A98" s="14" t="s">
        <v>57</v>
      </c>
      <c r="B98" s="1"/>
      <c r="C98" s="14" t="s">
        <v>56</v>
      </c>
      <c r="D98" s="10" t="s">
        <v>205</v>
      </c>
    </row>
    <row r="99" spans="1:4" ht="28.8" x14ac:dyDescent="0.3">
      <c r="A99" s="14" t="s">
        <v>123</v>
      </c>
      <c r="B99" s="1" t="s">
        <v>124</v>
      </c>
      <c r="C99" s="14" t="s">
        <v>129</v>
      </c>
      <c r="D99" s="1" t="s">
        <v>126</v>
      </c>
    </row>
    <row r="100" spans="1:4" x14ac:dyDescent="0.3">
      <c r="A100" s="27" t="s">
        <v>130</v>
      </c>
      <c r="B100" s="27"/>
      <c r="C100" s="27"/>
      <c r="D100" s="27"/>
    </row>
    <row r="101" spans="1:4" x14ac:dyDescent="0.3">
      <c r="A101" s="14" t="s">
        <v>131</v>
      </c>
      <c r="B101" s="32"/>
      <c r="C101" s="33"/>
      <c r="D101" s="34"/>
    </row>
    <row r="102" spans="1:4" x14ac:dyDescent="0.3">
      <c r="A102" s="14" t="s">
        <v>134</v>
      </c>
      <c r="B102" s="32" t="s">
        <v>229</v>
      </c>
      <c r="C102" s="33"/>
      <c r="D102" s="34"/>
    </row>
    <row r="103" spans="1:4" x14ac:dyDescent="0.3">
      <c r="A103" s="14" t="s">
        <v>135</v>
      </c>
      <c r="B103" s="32">
        <v>9540637533</v>
      </c>
      <c r="C103" s="33"/>
      <c r="D103" s="34"/>
    </row>
    <row r="104" spans="1:4" x14ac:dyDescent="0.3">
      <c r="A104" s="14" t="s">
        <v>136</v>
      </c>
      <c r="B104" s="32" t="s">
        <v>230</v>
      </c>
      <c r="C104" s="33"/>
      <c r="D104" s="34"/>
    </row>
    <row r="105" spans="1:4" x14ac:dyDescent="0.3">
      <c r="A105" s="28" t="s">
        <v>58</v>
      </c>
      <c r="B105" s="28"/>
      <c r="C105" s="28"/>
      <c r="D105" s="28"/>
    </row>
    <row r="106" spans="1:4" ht="408.6" customHeight="1" x14ac:dyDescent="0.3">
      <c r="A106" s="56" t="s">
        <v>231</v>
      </c>
      <c r="B106" s="56"/>
      <c r="C106" s="56"/>
      <c r="D106" s="56"/>
    </row>
    <row r="107" spans="1:4" ht="409.2" customHeight="1" x14ac:dyDescent="0.3">
      <c r="A107" s="57"/>
      <c r="B107" s="57"/>
      <c r="C107" s="57"/>
      <c r="D107" s="57"/>
    </row>
  </sheetData>
  <mergeCells count="73">
    <mergeCell ref="A106:D107"/>
    <mergeCell ref="A100:D100"/>
    <mergeCell ref="B101:D101"/>
    <mergeCell ref="B104:D104"/>
    <mergeCell ref="B103:D103"/>
    <mergeCell ref="B102:D102"/>
    <mergeCell ref="A105:D105"/>
    <mergeCell ref="A1:D1"/>
    <mergeCell ref="A89:D89"/>
    <mergeCell ref="A87:D87"/>
    <mergeCell ref="A49:D49"/>
    <mergeCell ref="A9:D9"/>
    <mergeCell ref="B35:D35"/>
    <mergeCell ref="B38:D38"/>
    <mergeCell ref="B39:D39"/>
    <mergeCell ref="B40:D40"/>
    <mergeCell ref="B41:D41"/>
    <mergeCell ref="B42:D42"/>
    <mergeCell ref="B85:D85"/>
    <mergeCell ref="B86:D86"/>
    <mergeCell ref="B88:D88"/>
    <mergeCell ref="B68:D68"/>
    <mergeCell ref="B79:D79"/>
    <mergeCell ref="A81:D81"/>
    <mergeCell ref="B84:D84"/>
    <mergeCell ref="B69:D69"/>
    <mergeCell ref="B70:D70"/>
    <mergeCell ref="B75:D75"/>
    <mergeCell ref="B72:D72"/>
    <mergeCell ref="B71:D71"/>
    <mergeCell ref="B73:D73"/>
    <mergeCell ref="B74:D74"/>
    <mergeCell ref="B80:D80"/>
    <mergeCell ref="B83:D83"/>
    <mergeCell ref="B27:D27"/>
    <mergeCell ref="A43:D43"/>
    <mergeCell ref="B46:D46"/>
    <mergeCell ref="B47:D47"/>
    <mergeCell ref="A67:D67"/>
    <mergeCell ref="B63:D63"/>
    <mergeCell ref="B64:D64"/>
    <mergeCell ref="A50:D50"/>
    <mergeCell ref="B45:D45"/>
    <mergeCell ref="B48:D48"/>
    <mergeCell ref="B65:D65"/>
    <mergeCell ref="A66:B66"/>
    <mergeCell ref="C66:D66"/>
    <mergeCell ref="B18:D18"/>
    <mergeCell ref="A23:D23"/>
    <mergeCell ref="B26:D26"/>
    <mergeCell ref="B12:D12"/>
    <mergeCell ref="B13:D13"/>
    <mergeCell ref="B10:D10"/>
    <mergeCell ref="B11:D11"/>
    <mergeCell ref="B16:D16"/>
    <mergeCell ref="B15:D15"/>
    <mergeCell ref="B14:D14"/>
    <mergeCell ref="B3:D3"/>
    <mergeCell ref="B28:D28"/>
    <mergeCell ref="B30:D30"/>
    <mergeCell ref="A29:D29"/>
    <mergeCell ref="A36:D36"/>
    <mergeCell ref="A20:D20"/>
    <mergeCell ref="B17:D17"/>
    <mergeCell ref="B4:D4"/>
    <mergeCell ref="B5:D5"/>
    <mergeCell ref="B6:D6"/>
    <mergeCell ref="B7:D7"/>
    <mergeCell ref="B8:D8"/>
    <mergeCell ref="B31:D31"/>
    <mergeCell ref="B32:D32"/>
    <mergeCell ref="B33:D33"/>
    <mergeCell ref="B34:D34"/>
  </mergeCells>
  <pageMargins left="0.7" right="0.7" top="0.75" bottom="0.75" header="0.3" footer="0.3"/>
  <pageSetup scale="88" fitToHeight="0" orientation="portrait" r:id="rId1"/>
  <extLst>
    <ext xmlns:x14="http://schemas.microsoft.com/office/spreadsheetml/2009/9/main" uri="{CCE6A557-97BC-4b89-ADB6-D9C93CAAB3DF}">
      <x14:dataValidations xmlns:xm="http://schemas.microsoft.com/office/excel/2006/main" count="23">
        <x14:dataValidation type="list" allowBlank="1" showInputMessage="1" showErrorMessage="1">
          <x14:formula1>
            <xm:f>Sheet2!6:6</xm:f>
          </x14:formula1>
          <xm:sqref>B94 D94</xm:sqref>
        </x14:dataValidation>
        <x14:dataValidation type="list" allowBlank="1" showInputMessage="1" showErrorMessage="1">
          <x14:formula1>
            <xm:f>Sheet2!6:6</xm:f>
          </x14:formula1>
          <xm:sqref>D93 B93</xm:sqref>
        </x14:dataValidation>
        <x14:dataValidation type="list" allowBlank="1" showInputMessage="1" showErrorMessage="1">
          <x14:formula1>
            <xm:f>Sheet2!6:6</xm:f>
          </x14:formula1>
          <xm:sqref>B92 B95</xm:sqref>
        </x14:dataValidation>
        <x14:dataValidation type="list" allowBlank="1" showInputMessage="1" showErrorMessage="1">
          <x14:formula1>
            <xm:f>Sheet2!10:10</xm:f>
          </x14:formula1>
          <xm:sqref>B91</xm:sqref>
        </x14:dataValidation>
        <x14:dataValidation type="list" allowBlank="1" showInputMessage="1" showErrorMessage="1">
          <x14:formula1>
            <xm:f>Sheet2!6:6</xm:f>
          </x14:formula1>
          <xm:sqref>D91 B99 D96 B101</xm:sqref>
        </x14:dataValidation>
        <x14:dataValidation type="list" allowBlank="1" showInputMessage="1" showErrorMessage="1">
          <x14:formula1>
            <xm:f>Sheet2!11:11</xm:f>
          </x14:formula1>
          <xm:sqref>D95 D99 B97</xm:sqref>
        </x14:dataValidation>
        <x14:dataValidation type="list" allowBlank="1" showInputMessage="1" showErrorMessage="1">
          <x14:formula1>
            <xm:f>Sheet2!6:6</xm:f>
          </x14:formula1>
          <xm:sqref>B85:D85</xm:sqref>
        </x14:dataValidation>
        <x14:dataValidation type="list" allowBlank="1" showInputMessage="1" showErrorMessage="1">
          <x14:formula1>
            <xm:f>Sheet2!$A19:$L19</xm:f>
          </x14:formula1>
          <xm:sqref>B88:D88</xm:sqref>
        </x14:dataValidation>
        <x14:dataValidation type="list" allowBlank="1" showInputMessage="1" showErrorMessage="1">
          <x14:formula1>
            <xm:f>Sheet2!3:3</xm:f>
          </x14:formula1>
          <xm:sqref>B76</xm:sqref>
        </x14:dataValidation>
        <x14:dataValidation type="list" allowBlank="1" showInputMessage="1" showErrorMessage="1">
          <x14:formula1>
            <xm:f>Sheet2!3:3</xm:f>
          </x14:formula1>
          <xm:sqref>B77</xm:sqref>
        </x14:dataValidation>
        <x14:dataValidation type="list" allowBlank="1" showInputMessage="1" showErrorMessage="1">
          <x14:formula1>
            <xm:f>Sheet2!6:6</xm:f>
          </x14:formula1>
          <xm:sqref>D76</xm:sqref>
        </x14:dataValidation>
        <x14:dataValidation type="list" allowBlank="1" showInputMessage="1" showErrorMessage="1">
          <x14:formula1>
            <xm:f>Sheet2!6:6</xm:f>
          </x14:formula1>
          <xm:sqref>B78</xm:sqref>
        </x14:dataValidation>
        <x14:dataValidation type="list" allowBlank="1" showInputMessage="1" showErrorMessage="1">
          <x14:formula1>
            <xm:f>Sheet2!6:6</xm:f>
          </x14:formula1>
          <xm:sqref>B26:D26</xm:sqref>
        </x14:dataValidation>
        <x14:dataValidation type="list" allowBlank="1" showInputMessage="1" showErrorMessage="1">
          <x14:formula1>
            <xm:f>Sheet2!4:4</xm:f>
          </x14:formula1>
          <xm:sqref>B28:D28</xm:sqref>
        </x14:dataValidation>
        <x14:dataValidation type="list" allowBlank="1" showInputMessage="1" showErrorMessage="1">
          <x14:formula1>
            <xm:f>Sheet2!5:5</xm:f>
          </x14:formula1>
          <xm:sqref>B30:D30</xm:sqref>
        </x14:dataValidation>
        <x14:dataValidation type="list" allowBlank="1" showInputMessage="1" showErrorMessage="1">
          <x14:formula1>
            <xm:f>Sheet2!6:6</xm:f>
          </x14:formula1>
          <xm:sqref>B33:D34</xm:sqref>
        </x14:dataValidation>
        <x14:dataValidation type="list" allowBlank="1" showInputMessage="1" showErrorMessage="1">
          <x14:formula1>
            <xm:f>Sheet2!6:6</xm:f>
          </x14:formula1>
          <xm:sqref>B35:D35</xm:sqref>
        </x14:dataValidation>
        <x14:dataValidation type="list" allowBlank="1" showInputMessage="1" showErrorMessage="1">
          <x14:formula1>
            <xm:f>Sheet2!6:6</xm:f>
          </x14:formula1>
          <xm:sqref>B38:D38 B41:D41</xm:sqref>
        </x14:dataValidation>
        <x14:dataValidation type="list" allowBlank="1" showInputMessage="1" showErrorMessage="1">
          <x14:formula1>
            <xm:f>Sheet2!8:8</xm:f>
          </x14:formula1>
          <xm:sqref>B39:D40</xm:sqref>
        </x14:dataValidation>
        <x14:dataValidation type="list" allowBlank="1" showInputMessage="1" showErrorMessage="1">
          <x14:formula1>
            <xm:f>Sheet2!9:9</xm:f>
          </x14:formula1>
          <xm:sqref>B42:D42</xm:sqref>
        </x14:dataValidation>
        <x14:dataValidation type="list" allowBlank="1" showInputMessage="1" showErrorMessage="1">
          <x14:formula1>
            <xm:f>Sheet2!1:1</xm:f>
          </x14:formula1>
          <xm:sqref>B3:D3</xm:sqref>
        </x14:dataValidation>
        <x14:dataValidation type="list" allowBlank="1" showInputMessage="1" showErrorMessage="1">
          <x14:formula1>
            <xm:f>Sheet2!2:2</xm:f>
          </x14:formula1>
          <xm:sqref>B5:D5</xm:sqref>
        </x14:dataValidation>
        <x14:dataValidation type="list" allowBlank="1" showInputMessage="1" showErrorMessage="1">
          <x14:formula1>
            <xm:f>Sheet2!3:3</xm:f>
          </x14:formula1>
          <xm:sqref>B7:D7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
  <sheetViews>
    <sheetView topLeftCell="A4" workbookViewId="0">
      <selection activeCell="C23" sqref="C23"/>
    </sheetView>
  </sheetViews>
  <sheetFormatPr defaultColWidth="8.6640625" defaultRowHeight="14.4" x14ac:dyDescent="0.3"/>
  <cols>
    <col min="1" max="1" width="16.44140625" style="2" bestFit="1" customWidth="1"/>
    <col min="2" max="2" width="15.44140625" style="2" bestFit="1" customWidth="1"/>
    <col min="3" max="3" width="24.44140625" style="2" bestFit="1" customWidth="1"/>
    <col min="4" max="4" width="18" style="2" bestFit="1" customWidth="1"/>
    <col min="5" max="5" width="11.88671875" style="2" bestFit="1" customWidth="1"/>
    <col min="6" max="6" width="14.6640625" style="2" bestFit="1" customWidth="1"/>
    <col min="7" max="7" width="5" style="2" bestFit="1" customWidth="1"/>
    <col min="8" max="8" width="15.5546875" style="2" bestFit="1" customWidth="1"/>
    <col min="9" max="16384" width="8.6640625" style="2"/>
  </cols>
  <sheetData>
    <row r="1" spans="1:8" x14ac:dyDescent="0.3">
      <c r="A1" s="2" t="s">
        <v>74</v>
      </c>
      <c r="B1" s="2" t="s">
        <v>67</v>
      </c>
      <c r="C1" s="2" t="s">
        <v>68</v>
      </c>
      <c r="D1" s="2" t="s">
        <v>69</v>
      </c>
      <c r="E1" s="2" t="s">
        <v>70</v>
      </c>
      <c r="F1" s="2" t="s">
        <v>71</v>
      </c>
      <c r="G1" s="2" t="s">
        <v>72</v>
      </c>
      <c r="H1" s="2" t="s">
        <v>73</v>
      </c>
    </row>
    <row r="2" spans="1:8" x14ac:dyDescent="0.3">
      <c r="A2" s="2" t="s">
        <v>75</v>
      </c>
      <c r="B2" s="2" t="s">
        <v>76</v>
      </c>
      <c r="C2" s="2" t="s">
        <v>77</v>
      </c>
      <c r="D2" s="2" t="s">
        <v>78</v>
      </c>
    </row>
    <row r="3" spans="1:8" x14ac:dyDescent="0.3">
      <c r="A3" s="2">
        <v>0</v>
      </c>
      <c r="B3" s="2">
        <v>1</v>
      </c>
      <c r="C3" s="2">
        <v>2</v>
      </c>
      <c r="D3" s="2">
        <v>3</v>
      </c>
      <c r="E3" s="2">
        <v>4</v>
      </c>
      <c r="F3" s="2">
        <v>5</v>
      </c>
      <c r="G3" s="2">
        <v>6</v>
      </c>
    </row>
    <row r="4" spans="1:8" x14ac:dyDescent="0.3">
      <c r="A4" s="2" t="s">
        <v>83</v>
      </c>
      <c r="B4" s="2" t="s">
        <v>80</v>
      </c>
      <c r="C4" s="2" t="s">
        <v>81</v>
      </c>
      <c r="D4" s="2" t="s">
        <v>82</v>
      </c>
      <c r="E4" s="2" t="s">
        <v>84</v>
      </c>
    </row>
    <row r="5" spans="1:8" x14ac:dyDescent="0.3">
      <c r="A5" s="2" t="s">
        <v>75</v>
      </c>
      <c r="B5" s="2" t="s">
        <v>86</v>
      </c>
      <c r="C5" s="2" t="s">
        <v>87</v>
      </c>
    </row>
    <row r="6" spans="1:8" x14ac:dyDescent="0.3">
      <c r="A6" s="2" t="s">
        <v>89</v>
      </c>
      <c r="B6" s="2" t="s">
        <v>90</v>
      </c>
    </row>
    <row r="7" spans="1:8" x14ac:dyDescent="0.3">
      <c r="A7" s="2" t="s">
        <v>91</v>
      </c>
      <c r="B7" s="2">
        <v>0</v>
      </c>
    </row>
    <row r="8" spans="1:8" x14ac:dyDescent="0.3">
      <c r="A8" s="2" t="s">
        <v>96</v>
      </c>
      <c r="B8" s="2" t="s">
        <v>97</v>
      </c>
      <c r="C8" s="2" t="s">
        <v>98</v>
      </c>
      <c r="D8" s="2" t="s">
        <v>99</v>
      </c>
      <c r="E8" s="2" t="s">
        <v>100</v>
      </c>
    </row>
    <row r="9" spans="1:8" x14ac:dyDescent="0.3">
      <c r="A9" s="2" t="s">
        <v>75</v>
      </c>
      <c r="B9" s="2">
        <v>1</v>
      </c>
      <c r="C9" s="2">
        <v>2</v>
      </c>
      <c r="D9" s="2">
        <v>3</v>
      </c>
      <c r="E9" s="2" t="s">
        <v>101</v>
      </c>
    </row>
    <row r="10" spans="1:8" x14ac:dyDescent="0.3">
      <c r="A10" s="2" t="s">
        <v>106</v>
      </c>
      <c r="B10" s="2" t="s">
        <v>107</v>
      </c>
    </row>
    <row r="11" spans="1:8" x14ac:dyDescent="0.3">
      <c r="A11" s="2" t="s">
        <v>117</v>
      </c>
      <c r="B11" s="2" t="s">
        <v>116</v>
      </c>
      <c r="C11" s="2" t="s">
        <v>118</v>
      </c>
    </row>
    <row r="12" spans="1:8" x14ac:dyDescent="0.3">
      <c r="A12" s="2" t="s">
        <v>117</v>
      </c>
      <c r="B12" s="2" t="s">
        <v>116</v>
      </c>
      <c r="C12" s="2" t="s">
        <v>118</v>
      </c>
    </row>
    <row r="13" spans="1:8" x14ac:dyDescent="0.3">
      <c r="A13" s="2" t="s">
        <v>121</v>
      </c>
      <c r="B13" s="2" t="s">
        <v>122</v>
      </c>
    </row>
    <row r="14" spans="1:8" x14ac:dyDescent="0.3">
      <c r="A14" s="2" t="s">
        <v>124</v>
      </c>
      <c r="B14" s="2" t="s">
        <v>125</v>
      </c>
    </row>
    <row r="15" spans="1:8" x14ac:dyDescent="0.3">
      <c r="A15" s="2" t="s">
        <v>128</v>
      </c>
      <c r="B15" s="2" t="s">
        <v>126</v>
      </c>
      <c r="C15" s="2" t="s">
        <v>127</v>
      </c>
    </row>
    <row r="16" spans="1:8" x14ac:dyDescent="0.3">
      <c r="A16" s="2" t="s">
        <v>132</v>
      </c>
      <c r="B16" s="2" t="s">
        <v>133</v>
      </c>
    </row>
    <row r="17" spans="1:20" x14ac:dyDescent="0.3">
      <c r="A17" s="2" t="s">
        <v>75</v>
      </c>
      <c r="B17" s="2" t="s">
        <v>138</v>
      </c>
      <c r="C17" s="2" t="s">
        <v>139</v>
      </c>
      <c r="D17" s="2" t="s">
        <v>140</v>
      </c>
      <c r="E17" s="2" t="s">
        <v>141</v>
      </c>
    </row>
    <row r="18" spans="1:20" x14ac:dyDescent="0.3">
      <c r="A18" s="2" t="s">
        <v>142</v>
      </c>
      <c r="B18" s="2" t="s">
        <v>143</v>
      </c>
      <c r="C18" s="2" t="s">
        <v>144</v>
      </c>
      <c r="D18" s="2" t="s">
        <v>145</v>
      </c>
      <c r="E18" s="2" t="s">
        <v>146</v>
      </c>
      <c r="F18" s="2" t="s">
        <v>147</v>
      </c>
      <c r="G18" s="2" t="s">
        <v>148</v>
      </c>
      <c r="H18" s="2" t="s">
        <v>149</v>
      </c>
      <c r="I18" s="2" t="s">
        <v>150</v>
      </c>
      <c r="J18" s="2" t="s">
        <v>151</v>
      </c>
      <c r="K18" s="2" t="s">
        <v>152</v>
      </c>
      <c r="L18" s="2" t="s">
        <v>153</v>
      </c>
      <c r="M18" s="2" t="s">
        <v>154</v>
      </c>
      <c r="N18" s="2" t="s">
        <v>155</v>
      </c>
      <c r="O18" s="2" t="s">
        <v>156</v>
      </c>
      <c r="P18" s="2" t="s">
        <v>157</v>
      </c>
      <c r="Q18" s="2" t="s">
        <v>158</v>
      </c>
      <c r="R18" s="2" t="s">
        <v>159</v>
      </c>
      <c r="S18" s="2" t="s">
        <v>160</v>
      </c>
      <c r="T18" s="2" t="s">
        <v>161</v>
      </c>
    </row>
    <row r="19" spans="1:20" x14ac:dyDescent="0.3">
      <c r="A19" s="2" t="s">
        <v>162</v>
      </c>
      <c r="B19" s="2" t="s">
        <v>163</v>
      </c>
      <c r="C19" s="2" t="s">
        <v>164</v>
      </c>
      <c r="D19" s="2" t="s">
        <v>165</v>
      </c>
      <c r="E19" s="2" t="s">
        <v>60</v>
      </c>
      <c r="F19" s="2" t="s">
        <v>166</v>
      </c>
      <c r="G19" s="2" t="s">
        <v>167</v>
      </c>
      <c r="H19" s="2" t="s">
        <v>168</v>
      </c>
      <c r="I19" s="2" t="s">
        <v>169</v>
      </c>
      <c r="J19" s="2" t="s">
        <v>170</v>
      </c>
      <c r="K19" s="2" t="s">
        <v>171</v>
      </c>
      <c r="L19" s="2" t="s">
        <v>172</v>
      </c>
    </row>
    <row r="20" spans="1:20" x14ac:dyDescent="0.3">
      <c r="A20" s="2" t="s">
        <v>173</v>
      </c>
      <c r="B20" s="2" t="s">
        <v>174</v>
      </c>
      <c r="C20" s="2" t="s">
        <v>175</v>
      </c>
      <c r="D20" s="2" t="s">
        <v>176</v>
      </c>
      <c r="E20" s="2" t="s">
        <v>177</v>
      </c>
      <c r="F20" s="2" t="s">
        <v>80</v>
      </c>
      <c r="G20" s="2" t="s">
        <v>178</v>
      </c>
      <c r="H20" s="2"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2026-04-23T19:09:00Z</cp:lastPrinted>
  <dcterms:created xsi:type="dcterms:W3CDTF">2025-07-02T17:51:02Z</dcterms:created>
  <dcterms:modified xsi:type="dcterms:W3CDTF">2026-04-23T19:09:03Z</dcterms:modified>
</cp:coreProperties>
</file>